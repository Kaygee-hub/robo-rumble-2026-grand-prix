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520f6357094b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550eb864e8524be2"/>
    <x:sheet xmlns:r="http://schemas.openxmlformats.org/officeDocument/2006/relationships" name="Source Notes" sheetId="2" r:id="Re6395402246347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R #,##0.00"/>
    <x:numFmt numFmtId="201" formatCode="0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i/>
      <x:sz val="9"/>
      <x:color rgb="FF555555"/>
      <x:name val="Carlito"/>
    </x:font>
    <x:font>
      <x:b/>
      <x:sz val="11"/>
      <x:color rgb="FFFFFFFF"/>
      <x:name val="Carlito"/>
    </x:font>
    <x:font>
      <x:b/>
      <x:sz val="13"/>
      <x:color rgb="FFC00000"/>
      <x:name val="Carlito"/>
    </x:font>
    <x:font>
      <x:sz val="11"/>
      <x:color rgb="FF6B5A00"/>
      <x:name val="Carlito"/>
    </x:font>
    <x:font>
      <x:i/>
      <x:sz val="11"/>
      <x:color rgb="FF666666"/>
      <x:name val="Carlito"/>
    </x:font>
    <x:font>
      <x:b/>
      <x:sz val="14"/>
      <x:color rgb="FFFFFFFF"/>
      <x:name val="Carlito"/>
    </x:font>
    <x:font>
      <x:b/>
      <x:sz val="14"/>
      <x:color rgb="FFC00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FE5E5"/>
      </x:patternFill>
    </x:fill>
    <x:fill>
      <x:patternFill patternType="solid">
        <x:fgColor rgb="FFFFF8E1"/>
      </x:patternFill>
    </x:fill>
    <x:fill>
      <x:patternFill patternType="solid">
        <x:fgColor rgb="FFF2F2F2"/>
      </x:patternFill>
    </x:fill>
    <x:fill>
      <x:patternFill patternType="solid">
        <x:fgColor rgb="FFFDE2E2"/>
      </x:patternFill>
    </x:fill>
  </x:fills>
  <x:borders count="2">
    <x:border/>
    <x:border/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6" borderId="0" xfId="0" applyNumberFormat="1" applyFont="1" applyFill="1" applyBorder="1"/>
    <x:xf numFmtId="0" fontId="5" fillId="6" borderId="0" xfId="0" applyNumberFormat="1" applyFont="1" applyFill="1" applyBorder="1"/>
    <x:xf numFmtId="0" fontId="2" fillId="6" borderId="1" xfId="0" applyNumberFormat="1" applyFont="1" applyFill="1" applyBorder="1"/>
    <x:xf numFmtId="0" fontId="5" fillId="6" borderId="1" xfId="0" applyNumberFormat="1" applyFont="1" applyFill="1" applyBorder="1"/>
    <x:xf numFmtId="200" fontId="2" fillId="5" borderId="0" xfId="0" applyNumberFormat="1" applyFont="1" applyFill="1" applyBorder="1"/>
    <x:xf numFmtId="200" fontId="5" fillId="6" borderId="0" xfId="0" applyNumberFormat="1" applyFont="1" applyFill="1" applyBorder="1"/>
    <x:xf numFmtId="200" fontId="2" fillId="5" borderId="1" xfId="0" applyNumberFormat="1" applyFont="1" applyFill="1" applyBorder="1"/>
    <x:xf numFmtId="200" fontId="5" fillId="6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 applyAlignment="1">
      <x:alignment horizontal="center" vertical="top" wrapText="1"/>
    </x:xf>
    <x:xf numFmtId="201" fontId="0" fillId="0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 applyAlignment="1">
      <x:alignment vertical="top" wrapText="1"/>
    </x:xf>
    <x:xf numFmtId="201" fontId="0" fillId="8" borderId="0" xfId="0" applyNumberFormat="1" applyFont="1" applyFill="1" applyBorder="1" applyAlignment="1">
      <x:alignment horizontal="center" vertical="top" wrapText="1"/>
    </x:xf>
    <x:xf numFmtId="200" fontId="0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horizontal="center" vertical="top" wrapText="1"/>
    </x:xf>
    <x:xf numFmtId="0" fontId="7" fillId="8" borderId="0" xfId="0" applyNumberFormat="1" applyFont="1" applyFill="1" applyBorder="1" applyAlignment="1">
      <x:alignment vertical="top" wrapText="1"/>
    </x:xf>
    <x:xf numFmtId="201" fontId="7" fillId="8" borderId="0" xfId="0" applyNumberFormat="1" applyFont="1" applyFill="1" applyBorder="1" applyAlignment="1">
      <x:alignment horizontal="center" vertical="top" wrapText="1"/>
    </x:xf>
    <x:xf numFmtId="200" fontId="7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horizontal="center" vertical="top" wrapText="1"/>
    </x:xf>
    <x:xf numFmtId="0" fontId="0" fillId="8" borderId="1" xfId="0" applyNumberFormat="1" applyFont="1" applyFill="1" applyBorder="1" applyAlignment="1">
      <x:alignment vertical="top" wrapText="1"/>
    </x:xf>
    <x:xf numFmtId="201" fontId="0" fillId="8" borderId="1" xfId="0" applyNumberFormat="1" applyFont="1" applyFill="1" applyBorder="1" applyAlignment="1">
      <x:alignment horizontal="center" vertical="top" wrapText="1"/>
    </x:xf>
    <x:xf numFmtId="200" fontId="0" fillId="8" borderId="1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horizontal="center" vertical="top" wrapText="1"/>
    </x:xf>
    <x:xf numFmtId="0" fontId="7" fillId="8" borderId="1" xfId="0" applyNumberFormat="1" applyFont="1" applyFill="1" applyBorder="1" applyAlignment="1">
      <x:alignment vertical="top" wrapText="1"/>
    </x:xf>
    <x:xf numFmtId="201" fontId="7" fillId="8" borderId="1" xfId="0" applyNumberFormat="1" applyFont="1" applyFill="1" applyBorder="1" applyAlignment="1">
      <x:alignment horizontal="center" vertical="top" wrapText="1"/>
    </x:xf>
    <x:xf numFmtId="200" fontId="7" fillId="8" borderId="1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5" fillId="9" borderId="0" xfId="0" applyNumberFormat="1" applyFont="1" applyFill="1" applyBorder="1"/>
    <x:xf numFmtId="200" fontId="5" fillId="9" borderId="0" xfId="0" applyNumberFormat="1" applyFont="1" applyFill="1" applyBorder="1"/>
    <x:xf numFmtId="0" fontId="9" fillId="9" borderId="0" xfId="0" applyNumberFormat="1" applyFont="1" applyFill="1" applyBorder="1"/>
    <x:xf numFmtId="20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horizontal="center"/>
    </x:xf>
    <x:xf numFmtId="200" fontId="9" fillId="9" borderId="0" xfId="0" applyNumberFormat="1" applyFont="1" applyFill="1" applyBorder="1" applyAlignment="1">
      <x:alignment horizontal="center"/>
    </x:xf>
    <x:xf numFmtId="0" fontId="9" fillId="9" borderId="0" xfId="0" applyNumberFormat="1" applyFont="1" applyFill="1" applyBorder="1" applyAlignment="1">
      <x:alignment horizontal="center" vertical="center"/>
    </x:xf>
    <x:xf numFmtId="200" fontId="9" fillId="9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7783bf9b1546cc" /><Relationship Type="http://schemas.openxmlformats.org/officeDocument/2006/relationships/theme" Target="/xl/theme/theme1.xml" Id="Rcfd7e653098a406f" /><Relationship Type="http://schemas.openxmlformats.org/officeDocument/2006/relationships/sharedStrings" Target="/xl/sharedStrings.xml" Id="R8adce011ff8b4c35" /><Relationship Type="http://schemas.openxmlformats.org/officeDocument/2006/relationships/worksheet" Target="/xl/worksheets/sheet1.xml" Id="R550eb864e8524be2" /><Relationship Type="http://schemas.openxmlformats.org/officeDocument/2006/relationships/worksheet" Target="/xl/worksheets/sheet2.xml" Id="Re6395402246347cd" /></Relationships>
</file>

<file path=xl/tables/table1.xml><?xml version="1.0" encoding="utf-8"?>
<x:table xmlns:x="http://schemas.openxmlformats.org/spreadsheetml/2006/main" id="1" name="RobotBOM" displayName="RobotBOM" ref="A10:N23" headerRowCount="1" totalsRowCount="0" totalsRowShown="0">
  <x:tableColumns count="14">
    <x:tableColumn id="1" name="Item"/>
    <x:tableColumn id="2" name="Category"/>
    <x:tableColumn id="3" name="Component / Specification"/>
    <x:tableColumn id="4" name="Qty"/>
    <x:tableColumn id="5" name="Unit"/>
    <x:tableColumn id="6" name="Unit Cost (Ex VAT)"/>
    <x:tableColumn id="7" name="VAT / Unit"/>
    <x:tableColumn id="8" name="Line Total (Ex VAT)"/>
    <x:tableColumn id="9" name="VAT Total"/>
    <x:tableColumn id="10" name="Line Total (Inc VAT)"/>
    <x:tableColumn id="11" name="Supplier"/>
    <x:tableColumn id="12" name="Stock Code"/>
    <x:tableColumn id="13" name="Direct URL"/>
    <x:tableColumn id="14" name="Status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7b066add174ae2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3" hidden="0" customWidth="1"/>
    <x:col min="4" max="4" width="7" hidden="0" customWidth="1"/>
    <x:col min="5" max="5" width="9" hidden="0" customWidth="1"/>
    <x:col min="6" max="6" width="16" hidden="0" customWidth="1"/>
    <x:col min="7" max="7" width="13" hidden="0" customWidth="1"/>
    <x:col min="8" max="8" width="17" hidden="0" customWidth="1"/>
    <x:col min="9" max="9" width="13" hidden="0" customWidth="1"/>
    <x:col min="10" max="10" width="17" hidden="0" customWidth="1"/>
    <x:col min="11" max="11" width="14" hidden="0" customWidth="1"/>
    <x:col min="12" max="12" width="26" hidden="0" customWidth="1"/>
    <x:col min="13" max="13" width="48" hidden="0" customWidth="1"/>
    <x:col min="14" max="14" width="46" hidden="0" customWidth="1"/>
  </x:cols>
  <x:sheetData>
    <x:row r="1" ht="30" customHeight="1">
      <x:c r="A1" s="5" t="str">
        <x:v>4WD ROBOT — BILL OF MATERIALS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2" customHeight="1">
      <x:c r="A2" s="12" t="str">
        <x:v>Arduino Mega 2560 + 3× HC-SR04 + L298N | Procurement BOM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 ht="22" customHeight="1">
      <x:c r="A3" s="17" t="str">
        <x:v>Prepared: 2026-09-08</x:v>
      </x:c>
      <x:c r="B3" s="17"/>
      <x:c r="C3" s="17"/>
      <x:c r="D3" s="17" t="str">
        <x:v>Currency: ZAR (South African Rand)</x:v>
      </x:c>
      <x:c r="E3" s="17"/>
      <x:c r="F3" s="17"/>
      <x:c r="G3" s="17" t="str">
        <x:v>Pricing basis: listed supplier price; VAT shown at 15% where applicable</x:v>
      </x:c>
      <x:c r="H3" s="17"/>
      <x:c r="I3" s="17"/>
      <x:c r="J3" s="17"/>
      <x:c r="K3" s="17"/>
      <x:c r="L3" s="17"/>
    </x:row>
    <x:row r="4" ht="22" customHeight="1"/>
    <x:row r="5" ht="24" customHeight="1">
      <x:c r="A5" s="22" t="str">
        <x:v>PROJECT COST SUMMARY</x:v>
      </x:c>
      <x:c r="B5" s="22"/>
      <x:c r="C5" s="22"/>
      <x:c r="D5" s="22"/>
    </x:row>
    <x:row r="6" ht="24" customHeight="1">
      <x:c r="A6" s="27" t="str">
        <x:v>Core BOM total (ex VAT)</x:v>
      </x:c>
      <x:c r="B6" s="34" t="n">
        <x:f>SUM(H11:H23)</x:f>
        <x:v>3854.2900000000004</x:v>
      </x:c>
    </x:row>
    <x:row r="7" ht="24" customHeight="1">
      <x:c r="A7" s="27" t="str">
        <x:v>VAT @ 15%</x:v>
      </x:c>
      <x:c r="B7" s="34" t="n">
        <x:f>SUM(I11:I23)</x:f>
        <x:v>578.1435000000001</x:v>
      </x:c>
    </x:row>
    <x:row r="8" ht="26" customHeight="1">
      <x:c r="A8" s="89" t="str">
        <x:v>FINAL TOTAL (INC VAT)</x:v>
      </x:c>
      <x:c r="B8" s="90" t="n">
        <x:f>SUM(J11:J23)</x:f>
        <x:v>4432.4335</x:v>
      </x:c>
    </x:row>
    <x:row r="9" ht="22" customHeight="1"/>
    <x:row r="10" ht="42" customHeight="1">
      <x:c r="A10" s="40" t="str">
        <x:v>Item</x:v>
      </x:c>
      <x:c r="B10" s="40" t="str">
        <x:v>Category</x:v>
      </x:c>
      <x:c r="C10" s="40" t="str">
        <x:v>Component / Specification</x:v>
      </x:c>
      <x:c r="D10" s="40" t="str">
        <x:v>Qty</x:v>
      </x:c>
      <x:c r="E10" s="40" t="str">
        <x:v>Unit</x:v>
      </x:c>
      <x:c r="F10" s="40" t="str">
        <x:v>Unit Cost (Ex VAT)</x:v>
      </x:c>
      <x:c r="G10" s="40" t="str">
        <x:v>VAT / Unit</x:v>
      </x:c>
      <x:c r="H10" s="40" t="str">
        <x:v>Line Total (Ex VAT)</x:v>
      </x:c>
      <x:c r="I10" s="40" t="str">
        <x:v>VAT Total</x:v>
      </x:c>
      <x:c r="J10" s="40" t="str">
        <x:v>Line Total (Inc VAT)</x:v>
      </x:c>
      <x:c r="K10" s="40" t="str">
        <x:v>Supplier</x:v>
      </x:c>
      <x:c r="L10" s="40" t="str">
        <x:v>Stock Code</x:v>
      </x:c>
      <x:c r="M10" s="40" t="str">
        <x:v>Direct URL</x:v>
      </x:c>
      <x:c r="N10" s="40" t="str">
        <x:v>Status / Notes</x:v>
      </x:c>
    </x:row>
    <x:row r="11" ht="48" customHeight="1">
      <x:c r="A11" s="52" t="n">
        <x:v>1</x:v>
      </x:c>
      <x:c r="B11" s="46" t="str">
        <x:v>Controller</x:v>
      </x:c>
      <x:c r="C11" s="46" t="str">
        <x:v>Keyestudio SUPER Arduino Mega 2560 R3 Advanced + USB cable</x:v>
      </x:c>
      <x:c r="D11" s="54" t="n">
        <x:v>1</x:v>
      </x:c>
      <x:c r="E11" s="52" t="str">
        <x:v>each</x:v>
      </x:c>
      <x:c r="F11" s="48" t="n">
        <x:v>1186.77</x:v>
      </x:c>
      <x:c r="G11" s="48" t="n">
        <x:f>F11*15%</x:f>
        <x:v>178.0155</x:v>
      </x:c>
      <x:c r="H11" s="48" t="n">
        <x:f>D11*F11</x:f>
        <x:v>1186.77</x:v>
      </x:c>
      <x:c r="I11" s="48" t="n">
        <x:f>H11*15%</x:f>
        <x:v>178.0155</x:v>
      </x:c>
      <x:c r="J11" s="48" t="n">
        <x:f>H11+I11</x:f>
        <x:v>1364.7855</x:v>
      </x:c>
      <x:c r="K11" s="52" t="str">
        <x:v>Mantech</x:v>
      </x:c>
      <x:c r="L11" s="52" t="str">
        <x:v>17M0214</x:v>
      </x:c>
      <x:c r="M11" s="46" t="str">
        <x:v>https://www.mantech.co.za/ProductInfo.aspx?Item=17M0214</x:v>
      </x:c>
      <x:c r="N11" s="57" t="str">
        <x:v>Matches Mega 2560 platform in schematic; listed ex VAT.</x:v>
      </x:c>
    </x:row>
    <x:row r="12" ht="48" customHeight="1">
      <x:c r="A12" s="52" t="n">
        <x:v>2</x:v>
      </x:c>
      <x:c r="B12" s="46" t="str">
        <x:v>Sensor</x:v>
      </x:c>
      <x:c r="C12" s="46" t="str">
        <x:v>HC-SR04 ultrasonic reflective sensor</x:v>
      </x:c>
      <x:c r="D12" s="54" t="n">
        <x:v>3</x:v>
      </x:c>
      <x:c r="E12" s="52" t="str">
        <x:v>each</x:v>
      </x:c>
      <x:c r="F12" s="48" t="n">
        <x:v>71.19</x:v>
      </x:c>
      <x:c r="G12" s="48" t="n">
        <x:f>F12*15%</x:f>
        <x:v>10.6785</x:v>
      </x:c>
      <x:c r="H12" s="48" t="n">
        <x:f>D12*F12</x:f>
        <x:v>213.57</x:v>
      </x:c>
      <x:c r="I12" s="48" t="n">
        <x:f>H12*15%</x:f>
        <x:v>32.0355</x:v>
      </x:c>
      <x:c r="J12" s="48" t="n">
        <x:f>H12+I12</x:f>
        <x:v>245.6055</x:v>
      </x:c>
      <x:c r="K12" s="52" t="str">
        <x:v>Mantech</x:v>
      </x:c>
      <x:c r="L12" s="52" t="str">
        <x:v>15M3173</x:v>
      </x:c>
      <x:c r="M12" s="46" t="str">
        <x:v>https://www.mantech.co.za/ProductInfo.aspx?Item=15M3173</x:v>
      </x:c>
      <x:c r="N12" s="57" t="str">
        <x:v>Three required: front, left, right.</x:v>
      </x:c>
    </x:row>
    <x:row r="13" ht="48" customHeight="1">
      <x:c r="A13" s="52" t="n">
        <x:v>3</x:v>
      </x:c>
      <x:c r="B13" s="46" t="str">
        <x:v>Motor Driver</x:v>
      </x:c>
      <x:c r="C13" s="46" t="str">
        <x:v>Keyestudio L298N dual H-bridge motor driver module</x:v>
      </x:c>
      <x:c r="D13" s="54" t="n">
        <x:v>1</x:v>
      </x:c>
      <x:c r="E13" s="52" t="str">
        <x:v>each</x:v>
      </x:c>
      <x:c r="F13" s="48" t="n">
        <x:v>196.48</x:v>
      </x:c>
      <x:c r="G13" s="48" t="n">
        <x:f>F13*15%</x:f>
        <x:v>29.471999999999998</x:v>
      </x:c>
      <x:c r="H13" s="48" t="n">
        <x:f>D13*F13</x:f>
        <x:v>196.48</x:v>
      </x:c>
      <x:c r="I13" s="48" t="n">
        <x:f>H13*15%</x:f>
        <x:v>29.471999999999998</x:v>
      </x:c>
      <x:c r="J13" s="48" t="n">
        <x:f>H13+I13</x:f>
        <x:v>225.952</x:v>
      </x:c>
      <x:c r="K13" s="52" t="str">
        <x:v>Mantech</x:v>
      </x:c>
      <x:c r="L13" s="52" t="str">
        <x:v>17M0346</x:v>
      </x:c>
      <x:c r="M13" s="46" t="str">
        <x:v>https://www.mantech.co.za/ProductInfo.aspx?Item=17M0346</x:v>
      </x:c>
      <x:c r="N13" s="57" t="str">
        <x:v>One module drives two motor channels; motors are paired per channel.</x:v>
      </x:c>
    </x:row>
    <x:row r="14" ht="48" customHeight="1">
      <x:c r="A14" s="52" t="n">
        <x:v>4</x:v>
      </x:c>
      <x:c r="B14" s="46" t="str">
        <x:v>Drive Motor</x:v>
      </x:c>
      <x:c r="C14" s="46" t="str">
        <x:v>12V DC geared motor, 65RPM, 0.3A nominal, 6mm shaft</x:v>
      </x:c>
      <x:c r="D14" s="54" t="n">
        <x:v>4</x:v>
      </x:c>
      <x:c r="E14" s="52" t="str">
        <x:v>each</x:v>
      </x:c>
      <x:c r="F14" s="48" t="n">
        <x:v>496.85</x:v>
      </x:c>
      <x:c r="G14" s="48" t="n">
        <x:f>F14*15%</x:f>
        <x:v>74.5275</x:v>
      </x:c>
      <x:c r="H14" s="48" t="n">
        <x:f>D14*F14</x:f>
        <x:v>1987.4</x:v>
      </x:c>
      <x:c r="I14" s="48" t="n">
        <x:f>H14*15%</x:f>
        <x:v>298.11</x:v>
      </x:c>
      <x:c r="J14" s="48" t="n">
        <x:f>H14+I14</x:f>
        <x:v>2285.51</x:v>
      </x:c>
      <x:c r="K14" s="52" t="str">
        <x:v>Mantech</x:v>
      </x:c>
      <x:c r="L14" s="52" t="str">
        <x:v>82M0808</x:v>
      </x:c>
      <x:c r="M14" s="46" t="str">
        <x:v>https://www.mantech.co.za/Stock.aspx?Query=motor%20dc%20geared</x:v>
      </x:c>
      <x:c r="N14" s="57" t="str">
        <x:v>Mantech listing; verify live stock before purchase.</x:v>
      </x:c>
    </x:row>
    <x:row r="15" ht="48" customHeight="1">
      <x:c r="A15" s="52" t="n">
        <x:v>5</x:v>
      </x:c>
      <x:c r="B15" s="46" t="str">
        <x:v>Power</x:v>
      </x:c>
      <x:c r="C15" s="46" t="str">
        <x:v>Energizer PP3 9V alkaline battery, 500–600mAh</x:v>
      </x:c>
      <x:c r="D15" s="54" t="n">
        <x:v>1</x:v>
      </x:c>
      <x:c r="E15" s="52" t="str">
        <x:v>each</x:v>
      </x:c>
      <x:c r="F15" s="48" t="n">
        <x:v>55.73</x:v>
      </x:c>
      <x:c r="G15" s="48" t="n">
        <x:f>F15*15%</x:f>
        <x:v>8.359499999999999</x:v>
      </x:c>
      <x:c r="H15" s="48" t="n">
        <x:f>D15*F15</x:f>
        <x:v>55.73</x:v>
      </x:c>
      <x:c r="I15" s="48" t="n">
        <x:f>H15*15%</x:f>
        <x:v>8.359499999999999</x:v>
      </x:c>
      <x:c r="J15" s="48" t="n">
        <x:f>H15+I15</x:f>
        <x:v>64.0895</x:v>
      </x:c>
      <x:c r="K15" s="52" t="str">
        <x:v>Mantech</x:v>
      </x:c>
      <x:c r="L15" s="52" t="str">
        <x:v>310M0318</x:v>
      </x:c>
      <x:c r="M15" s="46" t="str">
        <x:v>https://www.mantech.co.za/ProductInfo.aspx?Item=310M0318</x:v>
      </x:c>
      <x:c r="N15" s="57" t="str">
        <x:v>Shown in the supplied schematic. Not recommended for sustained 4-motor operation; use a higher-current pack in the finished robot.</x:v>
      </x:c>
    </x:row>
    <x:row r="16" ht="48" customHeight="1">
      <x:c r="A16" s="52" t="n">
        <x:v>6</x:v>
      </x:c>
      <x:c r="B16" s="46" t="str">
        <x:v>Power Connection</x:v>
      </x:c>
      <x:c r="C16" s="46" t="str">
        <x:v>9V battery snap connector, 150mm leads</x:v>
      </x:c>
      <x:c r="D16" s="54" t="n">
        <x:v>1</x:v>
      </x:c>
      <x:c r="E16" s="52" t="str">
        <x:v>each</x:v>
      </x:c>
      <x:c r="F16" s="48" t="n">
        <x:v>3.44</x:v>
      </x:c>
      <x:c r="G16" s="48" t="n">
        <x:f>F16*15%</x:f>
        <x:v>0.516</x:v>
      </x:c>
      <x:c r="H16" s="48" t="n">
        <x:f>D16*F16</x:f>
        <x:v>3.44</x:v>
      </x:c>
      <x:c r="I16" s="48" t="n">
        <x:f>H16*15%</x:f>
        <x:v>0.516</x:v>
      </x:c>
      <x:c r="J16" s="48" t="n">
        <x:f>H16+I16</x:f>
        <x:v>3.956</x:v>
      </x:c>
      <x:c r="K16" s="52" t="str">
        <x:v>Mantech</x:v>
      </x:c>
      <x:c r="L16" s="52" t="str">
        <x:v>14M4029</x:v>
      </x:c>
      <x:c r="M16" s="46" t="str">
        <x:v>https://www.mantech.co.za/ProductInfo.aspx?Item=14M4029</x:v>
      </x:c>
      <x:c r="N16" s="57" t="str">
        <x:v>Battery clip for PP3 battery.</x:v>
      </x:c>
    </x:row>
    <x:row r="17" ht="48" customHeight="1">
      <x:c r="A17" s="52" t="n">
        <x:v>7</x:v>
      </x:c>
      <x:c r="B17" s="46" t="str">
        <x:v>Power</x:v>
      </x:c>
      <x:c r="C17" s="46" t="str">
        <x:v>12V→5V DC/DC buck converter, 3A, in-line USB</x:v>
      </x:c>
      <x:c r="D17" s="54" t="n">
        <x:v>1</x:v>
      </x:c>
      <x:c r="E17" s="52" t="str">
        <x:v>each</x:v>
      </x:c>
      <x:c r="F17" s="48" t="n">
        <x:v>91.3</x:v>
      </x:c>
      <x:c r="G17" s="48" t="n">
        <x:f>F17*15%</x:f>
        <x:v>13.694999999999999</x:v>
      </x:c>
      <x:c r="H17" s="48" t="n">
        <x:f>D17*F17</x:f>
        <x:v>91.3</x:v>
      </x:c>
      <x:c r="I17" s="48" t="n">
        <x:f>H17*15%</x:f>
        <x:v>13.694999999999999</x:v>
      </x:c>
      <x:c r="J17" s="48" t="n">
        <x:f>H17+I17</x:f>
        <x:v>104.99499999999999</x:v>
      </x:c>
      <x:c r="K17" s="52" t="str">
        <x:v>Communica</x:v>
      </x:c>
      <x:c r="L17" s="52" t="str">
        <x:v>BDD DC/DC BUCK MOD 12TO5V USB IL</x:v>
      </x:c>
      <x:c r="M17" s="46" t="str">
        <x:v>https://www.communica.co.za/products/bdd-dc-dc-buck-mod-12to5v-usb-il</x:v>
      </x:c>
      <x:c r="N17" s="57" t="str">
        <x:v>Use for regulated 5V logic/sensors if supplied from a suitable motor battery.</x:v>
      </x:c>
    </x:row>
    <x:row r="18" ht="48" customHeight="1">
      <x:c r="A18" s="52" t="n">
        <x:v>8</x:v>
      </x:c>
      <x:c r="B18" s="46" t="str">
        <x:v>Switch</x:v>
      </x:c>
      <x:c r="C18" s="46" t="str">
        <x:v>Illuminated red rocker switch, SPST, 12V, 15A</x:v>
      </x:c>
      <x:c r="D18" s="54" t="n">
        <x:v>1</x:v>
      </x:c>
      <x:c r="E18" s="52" t="str">
        <x:v>each</x:v>
      </x:c>
      <x:c r="F18" s="48" t="n">
        <x:v>10.89</x:v>
      </x:c>
      <x:c r="G18" s="48" t="n">
        <x:f>F18*15%</x:f>
        <x:v>1.6335</x:v>
      </x:c>
      <x:c r="H18" s="48" t="n">
        <x:f>D18*F18</x:f>
        <x:v>10.89</x:v>
      </x:c>
      <x:c r="I18" s="48" t="n">
        <x:f>H18*15%</x:f>
        <x:v>1.6335</x:v>
      </x:c>
      <x:c r="J18" s="48" t="n">
        <x:f>H18+I18</x:f>
        <x:v>12.5235</x:v>
      </x:c>
      <x:c r="K18" s="52" t="str">
        <x:v>Mantech</x:v>
      </x:c>
      <x:c r="L18" s="52" t="str">
        <x:v>15M5438-X</x:v>
      </x:c>
      <x:c r="M18" s="46" t="str">
        <x:v>https://www.mantech.co.za/ProductInfo.aspx?Item=15M5438-X</x:v>
      </x:c>
      <x:c r="N18" s="57" t="str">
        <x:v>Main power switch; sized for low-voltage DC service.</x:v>
      </x:c>
    </x:row>
    <x:row r="19" ht="48" customHeight="1">
      <x:c r="A19" s="52" t="n">
        <x:v>9</x:v>
      </x:c>
      <x:c r="B19" s="46" t="str">
        <x:v>Prototyping</x:v>
      </x:c>
      <x:c r="C19" s="46" t="str">
        <x:v>830 tie-point solderless breadboard (MB-102 type)</x:v>
      </x:c>
      <x:c r="D19" s="54" t="n">
        <x:v>1</x:v>
      </x:c>
      <x:c r="E19" s="52" t="str">
        <x:v>each</x:v>
      </x:c>
      <x:c r="F19" s="48" t="n">
        <x:v>20</x:v>
      </x:c>
      <x:c r="G19" s="48" t="n">
        <x:f>F19*15%</x:f>
        <x:v>3</x:v>
      </x:c>
      <x:c r="H19" s="48" t="n">
        <x:f>D19*F19</x:f>
        <x:v>20</x:v>
      </x:c>
      <x:c r="I19" s="48" t="n">
        <x:f>H19*15%</x:f>
        <x:v>3</x:v>
      </x:c>
      <x:c r="J19" s="48" t="n">
        <x:f>H19+I19</x:f>
        <x:v>23</x:v>
      </x:c>
      <x:c r="K19" s="52" t="str">
        <x:v>Communica</x:v>
      </x:c>
      <x:c r="L19" s="52" t="str">
        <x:v>CMU BREADBOARD 16,5X5,5CM 830TP</x:v>
      </x:c>
      <x:c r="M19" s="46" t="str">
        <x:v>https://www.communica.co.za/collections/prototyping-products/products/cmu-breadboard-16-5x5-5cm-830tp</x:v>
      </x:c>
      <x:c r="N19" s="57" t="str">
        <x:v>Power distribution/prototyping board.</x:v>
      </x:c>
    </x:row>
    <x:row r="20" ht="48" customHeight="1">
      <x:c r="A20" s="52" t="n">
        <x:v>10</x:v>
      </x:c>
      <x:c r="B20" s="46" t="str">
        <x:v>Wiring</x:v>
      </x:c>
      <x:c r="C20" s="46" t="str">
        <x:v>40-way male/female jumper ribbon, 15cm</x:v>
      </x:c>
      <x:c r="D20" s="54" t="n">
        <x:v>2</x:v>
      </x:c>
      <x:c r="E20" s="52" t="str">
        <x:v>pack</x:v>
      </x:c>
      <x:c r="F20" s="48" t="n">
        <x:v>20</x:v>
      </x:c>
      <x:c r="G20" s="48" t="n">
        <x:f>F20*15%</x:f>
        <x:v>3</x:v>
      </x:c>
      <x:c r="H20" s="48" t="n">
        <x:f>D20*F20</x:f>
        <x:v>40</x:v>
      </x:c>
      <x:c r="I20" s="48" t="n">
        <x:f>H20*15%</x:f>
        <x:v>6</x:v>
      </x:c>
      <x:c r="J20" s="48" t="n">
        <x:f>H20+I20</x:f>
        <x:v>46</x:v>
      </x:c>
      <x:c r="K20" s="52" t="str">
        <x:v>Communica</x:v>
      </x:c>
      <x:c r="L20" s="52" t="str">
        <x:v>BMT RIBBON JUMPER 40W M/F 15CM</x:v>
      </x:c>
      <x:c r="M20" s="46" t="str">
        <x:v>https://www.communica.co.za/products/bmt-ribbon-jumper-40w-m-f-15cm</x:v>
      </x:c>
      <x:c r="N20" s="57" t="str">
        <x:v>Two packs provide ample logic wiring.</x:v>
      </x:c>
    </x:row>
    <x:row r="21" ht="48" customHeight="1">
      <x:c r="A21" s="52" t="n">
        <x:v>11</x:v>
      </x:c>
      <x:c r="B21" s="46" t="str">
        <x:v>Wiring</x:v>
      </x:c>
      <x:c r="C21" s="46" t="str">
        <x:v>40-way female/female jumper ribbon, 15cm</x:v>
      </x:c>
      <x:c r="D21" s="54" t="n">
        <x:v>1</x:v>
      </x:c>
      <x:c r="E21" s="52" t="str">
        <x:v>pack</x:v>
      </x:c>
      <x:c r="F21" s="48" t="n">
        <x:v>20</x:v>
      </x:c>
      <x:c r="G21" s="48" t="n">
        <x:f>F21*15%</x:f>
        <x:v>3</x:v>
      </x:c>
      <x:c r="H21" s="48" t="n">
        <x:f>D21*F21</x:f>
        <x:v>20</x:v>
      </x:c>
      <x:c r="I21" s="48" t="n">
        <x:f>H21*15%</x:f>
        <x:v>3</x:v>
      </x:c>
      <x:c r="J21" s="48" t="n">
        <x:f>H21+I21</x:f>
        <x:v>23</x:v>
      </x:c>
      <x:c r="K21" s="52" t="str">
        <x:v>Communica</x:v>
      </x:c>
      <x:c r="L21" s="52" t="str">
        <x:v>HKD RIBBON JUMPER 40W F/F 15CM</x:v>
      </x:c>
      <x:c r="M21" s="46" t="str">
        <x:v>https://www.communica.co.za/products/hkd-ribbon-jumper-40w-f-f-15cm</x:v>
      </x:c>
      <x:c r="N21" s="57" t="str">
        <x:v>For module-to-module and breadboard connections.</x:v>
      </x:c>
    </x:row>
    <x:row r="22" ht="48" customHeight="1">
      <x:c r="A22" s="52" t="n">
        <x:v>12</x:v>
      </x:c>
      <x:c r="B22" s="46" t="str">
        <x:v>Mechanical / Electrical</x:v>
      </x:c>
      <x:c r="C22" s="46" t="str">
        <x:v>Ultrasonic sensor mounting bracket, HC-SR04 compatible</x:v>
      </x:c>
      <x:c r="D22" s="54" t="n">
        <x:v>3</x:v>
      </x:c>
      <x:c r="E22" s="52" t="str">
        <x:v>each</x:v>
      </x:c>
      <x:c r="F22" s="48" t="n">
        <x:v>9.57</x:v>
      </x:c>
      <x:c r="G22" s="48" t="n">
        <x:f>F22*15%</x:f>
        <x:v>1.4355</x:v>
      </x:c>
      <x:c r="H22" s="48" t="n">
        <x:f>D22*F22</x:f>
        <x:v>28.71</x:v>
      </x:c>
      <x:c r="I22" s="48" t="n">
        <x:f>H22*15%</x:f>
        <x:v>4.3065</x:v>
      </x:c>
      <x:c r="J22" s="48" t="n">
        <x:f>H22+I22</x:f>
        <x:v>33.0165</x:v>
      </x:c>
      <x:c r="K22" s="52" t="str">
        <x:v>Communica</x:v>
      </x:c>
      <x:c r="L22" s="52" t="str">
        <x:v>HKD ULTRASONIC HC-SR04 BRACKET</x:v>
      </x:c>
      <x:c r="M22" s="46" t="str">
        <x:v>https://www.communica.co.za/products/hkd-ultrasonic-hc-sr04-bracket</x:v>
      </x:c>
      <x:c r="N22" s="57" t="str">
        <x:v>Optional but useful for clean mounting of the three sensors.</x:v>
      </x:c>
    </x:row>
    <x:row r="23" ht="48" customHeight="1">
      <x:c r="A23" s="65" t="n">
        <x:v>13</x:v>
      </x:c>
      <x:c r="B23" s="66" t="str">
        <x:v>Documentation / Note</x:v>
      </x:c>
      <x:c r="C23" s="66" t="str">
        <x:v>Recommended high-current motor battery upgrade allowance</x:v>
      </x:c>
      <x:c r="D23" s="67" t="n">
        <x:v>0</x:v>
      </x:c>
      <x:c r="E23" s="65" t="str">
        <x:v>each</x:v>
      </x:c>
      <x:c r="F23" s="68" t="n">
        <x:v>0</x:v>
      </x:c>
      <x:c r="G23" s="68" t="n">
        <x:f>F23*15%</x:f>
        <x:v>0</x:v>
      </x:c>
      <x:c r="H23" s="68" t="n">
        <x:f>D23*F23</x:f>
        <x:v>0</x:v>
      </x:c>
      <x:c r="I23" s="68" t="n">
        <x:f>H23*15%</x:f>
        <x:v>0</x:v>
      </x:c>
      <x:c r="J23" s="68" t="n">
        <x:f>H23+I23</x:f>
        <x:v>0</x:v>
      </x:c>
      <x:c r="K23" s="65" t="str">
        <x:v>—</x:v>
      </x:c>
      <x:c r="L23" s="65" t="str">
        <x:v>—</x:v>
      </x:c>
      <x:c r="M23" s="66" t="str">
        <x:v>—</x:v>
      </x:c>
      <x:c r="N23" s="66" t="str">
        <x:v>Excluded from total: the 9V PP3 shown in the reference circuit is not a suitable sustained source for four 12V motors.</x:v>
      </x:c>
    </x:row>
  </x:sheetData>
  <x:mergeCells>
    <x:mergeCell ref="A1:L1"/>
    <x:mergeCell ref="A2:L2"/>
    <x:mergeCell ref="A3:C3"/>
    <x:mergeCell ref="D3:F3"/>
    <x:mergeCell ref="G3:L3"/>
    <x:mergeCell ref="A5:D5"/>
  </x:mergeCells>
  <x:pageMargins left="0.7" right="0.7" top="0.75" bottom="0.75" header="0.3" footer="0.3"/>
  <x:tableParts count="1">
    <x:tablePart xmlns:r="http://schemas.openxmlformats.org/officeDocument/2006/relationships" r:id="R247b066add174ae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40" hidden="0" customWidth="1"/>
    <x:col min="4" max="4" width="55" hidden="0" customWidth="1"/>
    <x:col min="5" max="5" width="58" hidden="0" customWidth="1"/>
    <x:col min="6" max="6" width="15" hidden="0" customWidth="1"/>
  </x:cols>
  <x:sheetData>
    <x:row r="1" ht="46" customHeight="1">
      <x:c r="A1" s="79" t="str">
        <x:v>BOM SOURCE NOTES &amp; ENGINEERING CHECKS</x:v>
      </x:c>
      <x:c r="B1" s="79"/>
      <x:c r="C1" s="79"/>
      <x:c r="D1" s="79"/>
      <x:c r="E1" s="79"/>
      <x:c r="F1" s="79"/>
    </x:row>
    <x:row r="2" ht="46" customHeight="1"/>
    <x:row r="3" ht="34" customHeight="1">
      <x:c r="A3" s="38" t="str">
        <x:v>Topic</x:v>
      </x:c>
      <x:c r="B3" s="38" t="str">
        <x:v>Finding</x:v>
      </x:c>
      <x:c r="C3" s="38" t="str">
        <x:v>Implication</x:v>
      </x:c>
      <x:c r="D3" s="38" t="str">
        <x:v>Action</x:v>
      </x:c>
      <x:c r="E3" s="38" t="str">
        <x:v>Source</x:v>
      </x:c>
      <x:c r="F3" s="38" t="str">
        <x:v>Date checked</x:v>
      </x:c>
    </x:row>
    <x:row r="4" ht="46" customHeight="1">
      <x:c r="A4" s="46" t="str">
        <x:v>9V battery vs motors</x:v>
      </x:c>
      <x:c r="B4" s="46" t="str">
        <x:v>The schematic shows a 9V PP3 battery, while the listed motors are 12V geared motors.</x:v>
      </x:c>
      <x:c r="C4" s="46" t="str">
        <x:v>A PP3 is unsuitable for sustained four-motor drive current.</x:v>
      </x:c>
      <x:c r="D4" s="46" t="str">
        <x:v>Use a higher-current 7.4V–12V rechargeable battery pack for the actual robot; keep the 9V row only as the reference-circuit item.</x:v>
      </x:c>
      <x:c r="E4" s="46" t="str">
        <x:v>https://www.mantech.co.za/ProductInfo.aspx?Item=310M0318</x:v>
      </x:c>
      <x:c r="F4" s="46" t="str">
        <x:v>2026-09-08</x:v>
      </x:c>
    </x:row>
    <x:row r="5" ht="46" customHeight="1">
      <x:c r="A5" s="46" t="str">
        <x:v>HC-SR04 quantity</x:v>
      </x:c>
      <x:c r="B5" s="46" t="str">
        <x:v>Three HC-SR04 modules are visible in the reference circuit.</x:v>
      </x:c>
      <x:c r="C5" s="46" t="str">
        <x:v>One each for front, left and right coverage.</x:v>
      </x:c>
      <x:c r="D5" s="46" t="str">
        <x:v>Procure exactly 3.</x:v>
      </x:c>
      <x:c r="E5" s="46" t="str">
        <x:v>https://www.mantech.co.za/ProductInfo.aspx?Item=15M3173</x:v>
      </x:c>
      <x:c r="F5" s="46" t="str">
        <x:v>2026-09-08</x:v>
      </x:c>
    </x:row>
    <x:row r="6" ht="46" customHeight="1">
      <x:c r="A6" s="46" t="str">
        <x:v>L298N</x:v>
      </x:c>
      <x:c r="B6" s="46" t="str">
        <x:v>One L298N dual H-bridge is shown.</x:v>
      </x:c>
      <x:c r="C6" s="46" t="str">
        <x:v>Two motor channels are available; the four motors are paired.</x:v>
      </x:c>
      <x:c r="D6" s="46" t="str">
        <x:v>Procure 1 module.</x:v>
      </x:c>
      <x:c r="E6" s="46" t="str">
        <x:v>https://www.mantech.co.za/ProductInfo.aspx?Item=17M0346</x:v>
      </x:c>
      <x:c r="F6" s="46" t="str">
        <x:v>2026-09-08</x:v>
      </x:c>
    </x:row>
    <x:row r="7" ht="46" customHeight="1">
      <x:c r="A7" s="46" t="str">
        <x:v>Mega 2560</x:v>
      </x:c>
      <x:c r="B7" s="46" t="str">
        <x:v>The reference design uses Arduino Mega 2560.</x:v>
      </x:c>
      <x:c r="C7" s="46" t="str">
        <x:v>The selected Keyestudio board is compatible with Mega 2560 R3.</x:v>
      </x:c>
      <x:c r="D7" s="46" t="str">
        <x:v>Procure 1 board.</x:v>
      </x:c>
      <x:c r="E7" s="46" t="str">
        <x:v>https://www.mantech.co.za/ProductInfo.aspx?Item=17M0214</x:v>
      </x:c>
      <x:c r="F7" s="46" t="str">
        <x:v>2026-09-08</x:v>
      </x:c>
    </x:row>
    <x:row r="8" ht="46" customHeight="1">
      <x:c r="A8" s="46" t="str">
        <x:v>Pricing</x:v>
      </x:c>
      <x:c r="B8" s="46" t="str">
        <x:v>Mantech prices displayed are ex VAT; Communica pages show ex and inc VAT.</x:v>
      </x:c>
      <x:c r="C8" s="46" t="str">
        <x:v>Workbook standardizes to ex VAT + formula VAT at 15%.</x:v>
      </x:c>
      <x:c r="D8" s="46" t="str">
        <x:v>Verify final cart pricing before purchase.</x:v>
      </x:c>
      <x:c r="E8" s="46" t="str">
        <x:v>Supplier product pages linked in BOM.</x:v>
      </x:c>
      <x:c r="F8" s="46" t="str">
        <x:v>2026-09-08</x:v>
      </x:c>
    </x:row>
  </x:sheetData>
  <x:mergeCells>
    <x:mergeCell ref="A1:F1"/>
  </x:mergeCells>
  <x:pageMargins left="0.7" right="0.7" top="0.75" bottom="0.75" header="0.3" footer="0.3"/>
</x:worksheet>
</file>